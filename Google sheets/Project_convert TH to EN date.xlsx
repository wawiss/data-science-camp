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 - Project Convert TH to EN D" sheetId="1" r:id="rId5"/>
  </sheets>
  <definedNames/>
  <calcPr/>
</workbook>
</file>

<file path=xl/sharedStrings.xml><?xml version="1.0" encoding="utf-8"?>
<sst xmlns="http://schemas.openxmlformats.org/spreadsheetml/2006/main" count="35" uniqueCount="35">
  <si>
    <t>Project - Convert TH to EN Date</t>
  </si>
  <si>
    <t>Lookup Table</t>
  </si>
  <si>
    <t>TH Date</t>
  </si>
  <si>
    <t>Day</t>
  </si>
  <si>
    <t>Month</t>
  </si>
  <si>
    <t>Year</t>
  </si>
  <si>
    <t>EN Date</t>
  </si>
  <si>
    <t>ม.ค.</t>
  </si>
  <si>
    <t>12 ธ.ค. 2563</t>
  </si>
  <si>
    <t>ก.พ.</t>
  </si>
  <si>
    <t>25 พ.ย. 2561</t>
  </si>
  <si>
    <t>25</t>
  </si>
  <si>
    <t>มี.ค.</t>
  </si>
  <si>
    <t>09 ก.ย. 2562</t>
  </si>
  <si>
    <t>09</t>
  </si>
  <si>
    <t>เม.ย.</t>
  </si>
  <si>
    <t>07 ม.ค. 2560</t>
  </si>
  <si>
    <t>07</t>
  </si>
  <si>
    <t>พ.ค.</t>
  </si>
  <si>
    <t>15 เม.ย. 2563</t>
  </si>
  <si>
    <t>15</t>
  </si>
  <si>
    <t>มิ.ย.</t>
  </si>
  <si>
    <t>06 มิ.ย. 2563</t>
  </si>
  <si>
    <t>06</t>
  </si>
  <si>
    <t>ก.ค.</t>
  </si>
  <si>
    <t>ส.ค.</t>
  </si>
  <si>
    <t>ก.ย.</t>
  </si>
  <si>
    <t>ต.ค.</t>
  </si>
  <si>
    <t>พ.ย.</t>
  </si>
  <si>
    <t>extract date</t>
  </si>
  <si>
    <t>ธ.ค.</t>
  </si>
  <si>
    <t>extract month</t>
  </si>
  <si>
    <t>extract year</t>
  </si>
  <si>
    <t>ARRAYFORMULA(RIGHT(D4:D9,4)-543)</t>
  </si>
  <si>
    <t>combine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</si>
</sst>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yy"/>
  </numFmts>
  <fonts count="4">
    <font>
      <sz val="10.0"/>
      <color rgb="FF000000"/>
      <name val="Arial"/>
      <scheme val="minor"/>
    </font>
    <font>
      <b/>
      <color theme="1"/>
      <name val="Work Sans"/>
    </font>
    <font>
      <color theme="1"/>
      <name val="Work Sans"/>
    </font>
    <font>
      <color theme="1"/>
      <name val="Promp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</v>
      </c>
      <c r="B3" s="2"/>
      <c r="C3" s="3"/>
      <c r="D3" s="1" t="s">
        <v>2</v>
      </c>
      <c r="E3" s="4" t="s">
        <v>3</v>
      </c>
      <c r="F3" s="4" t="s">
        <v>4</v>
      </c>
      <c r="G3" s="4" t="s">
        <v>5</v>
      </c>
      <c r="H3" s="5" t="s">
        <v>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7</v>
      </c>
      <c r="B4" s="7">
        <v>1.0</v>
      </c>
      <c r="C4" s="3"/>
      <c r="D4" s="8" t="s">
        <v>8</v>
      </c>
      <c r="E4" s="9" t="str">
        <f t="array" ref="E4:E9">LEFT(D4:D9,2)</f>
        <v>12</v>
      </c>
      <c r="F4" s="9">
        <f>IFERROR(__xludf.DUMMYFUNCTION("xlookup(REGEXEXTRACT($D$4:$D$9,""[ก-๙].+[ก-๙].""),$A$4:$A$15,$B$4:$B$15)"),12.0)</f>
        <v>12</v>
      </c>
      <c r="G4" s="9">
        <f t="array" ref="G4:G9">RIGHT(D4:D9,4)-543</f>
        <v>2020</v>
      </c>
      <c r="H4" s="10">
        <f t="array" ref="H4:H9">DATE(G4:G9,F4:F9,E4:E9)</f>
        <v>44177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9</v>
      </c>
      <c r="B5" s="7">
        <v>2.0</v>
      </c>
      <c r="C5" s="3"/>
      <c r="D5" s="8" t="s">
        <v>10</v>
      </c>
      <c r="E5" s="9" t="s">
        <v>11</v>
      </c>
      <c r="F5" s="9">
        <f>IFERROR(__xludf.DUMMYFUNCTION("xlookup(REGEXEXTRACT($D$4:$D$9,""[ก-๙].+[ก-๙].""),$A$4:$A$15,$B$4:$B$15)"),11.0)</f>
        <v>11</v>
      </c>
      <c r="G5" s="9">
        <v>2018.0</v>
      </c>
      <c r="H5" s="10">
        <v>43429.0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12</v>
      </c>
      <c r="B6" s="7">
        <v>3.0</v>
      </c>
      <c r="C6" s="3"/>
      <c r="D6" s="8" t="s">
        <v>13</v>
      </c>
      <c r="E6" s="9" t="s">
        <v>14</v>
      </c>
      <c r="F6" s="9">
        <f>IFERROR(__xludf.DUMMYFUNCTION("xlookup(REGEXEXTRACT($D$4:$D$9,""[ก-๙].+[ก-๙].""),$A$4:$A$15,$B$4:$B$15)"),9.0)</f>
        <v>9</v>
      </c>
      <c r="G6" s="9">
        <v>2019.0</v>
      </c>
      <c r="H6" s="10">
        <v>43717.0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15</v>
      </c>
      <c r="B7" s="7">
        <v>4.0</v>
      </c>
      <c r="C7" s="3"/>
      <c r="D7" s="8" t="s">
        <v>16</v>
      </c>
      <c r="E7" s="9" t="s">
        <v>17</v>
      </c>
      <c r="F7" s="9">
        <f>IFERROR(__xludf.DUMMYFUNCTION("xlookup(REGEXEXTRACT($D$4:$D$9,""[ก-๙].+[ก-๙].""),$A$4:$A$15,$B$4:$B$15)"),1.0)</f>
        <v>1</v>
      </c>
      <c r="G7" s="9">
        <v>2017.0</v>
      </c>
      <c r="H7" s="10">
        <v>42742.0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18</v>
      </c>
      <c r="B8" s="7">
        <v>5.0</v>
      </c>
      <c r="C8" s="3"/>
      <c r="D8" s="8" t="s">
        <v>19</v>
      </c>
      <c r="E8" s="9" t="s">
        <v>20</v>
      </c>
      <c r="F8" s="9">
        <f>IFERROR(__xludf.DUMMYFUNCTION("xlookup(REGEXEXTRACT($D$4:$D$9,""[ก-๙].+[ก-๙].""),$A$4:$A$15,$B$4:$B$15)"),4.0)</f>
        <v>4</v>
      </c>
      <c r="G8" s="9">
        <v>2020.0</v>
      </c>
      <c r="H8" s="10">
        <v>43936.0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21</v>
      </c>
      <c r="B9" s="7">
        <v>6.0</v>
      </c>
      <c r="C9" s="3"/>
      <c r="D9" s="8" t="s">
        <v>22</v>
      </c>
      <c r="E9" s="9" t="s">
        <v>23</v>
      </c>
      <c r="F9" s="9">
        <f>IFERROR(__xludf.DUMMYFUNCTION("xlookup(REGEXEXTRACT($D$4:$D$9,""[ก-๙].+[ก-๙].""),$A$4:$A$15,$B$4:$B$15)"),6.0)</f>
        <v>6</v>
      </c>
      <c r="G9" s="9">
        <v>2020.0</v>
      </c>
      <c r="H9" s="10">
        <v>43988.0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 t="s">
        <v>24</v>
      </c>
      <c r="B10" s="7">
        <v>7.0</v>
      </c>
      <c r="C10" s="3"/>
      <c r="D10" s="3"/>
      <c r="E10" s="3"/>
      <c r="F10" s="9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25</v>
      </c>
      <c r="B11" s="7">
        <v>8.0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26</v>
      </c>
      <c r="B12" s="7">
        <v>9.0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27</v>
      </c>
      <c r="B13" s="7">
        <v>10.0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28</v>
      </c>
      <c r="B14" s="7">
        <v>11.0</v>
      </c>
      <c r="C14" s="3"/>
      <c r="D14" s="8" t="s">
        <v>29</v>
      </c>
      <c r="E14" s="3" t="str">
        <f>FORMULATEXT(E4)</f>
        <v>=ArrayFormula(LEFT(D4:D9,2))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30</v>
      </c>
      <c r="B15" s="7">
        <v>12.0</v>
      </c>
      <c r="C15" s="3"/>
      <c r="D15" s="8" t="s">
        <v>31</v>
      </c>
      <c r="E15" s="3" t="str">
        <f>FORMULATEXT(F4)</f>
        <v>=xlookup(REGEXEXTRACT($D$4:$D$9,"[ก-๙].+[ก-๙]."),$A$4:$A$15,$B$4:$B$15)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2"/>
      <c r="C16" s="3"/>
      <c r="D16" s="8" t="s">
        <v>32</v>
      </c>
      <c r="E16" s="8" t="s">
        <v>33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2"/>
      <c r="C17" s="3"/>
      <c r="D17" s="8" t="s">
        <v>34</v>
      </c>
      <c r="E17" s="3" t="str">
        <f>FORMULATEXT(H4)</f>
        <v>=ArrayFormula(DATE(G4:G9,F4:F9,E4:E9))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