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 - Project Dynamic Query" sheetId="1" r:id="rId5"/>
  </sheets>
  <definedNames>
    <definedName localSheetId="0" name="CUS_table">'09 - Project Dynamic Query'!$A$3:$J$53</definedName>
  </definedNames>
  <calcPr/>
</workbook>
</file>

<file path=xl/sharedStrings.xml><?xml version="1.0" encoding="utf-8"?>
<sst xmlns="http://schemas.openxmlformats.org/spreadsheetml/2006/main" count="316" uniqueCount="219">
  <si>
    <t>Project - Dynamic Query</t>
  </si>
  <si>
    <t>Lead source</t>
  </si>
  <si>
    <t>Web</t>
  </si>
  <si>
    <t>Customer segment</t>
  </si>
  <si>
    <t>SMB</t>
  </si>
  <si>
    <t>query result table</t>
  </si>
  <si>
    <t>CustomerID</t>
  </si>
  <si>
    <t>FirstName</t>
  </si>
  <si>
    <t>LastName</t>
  </si>
  <si>
    <t>Email</t>
  </si>
  <si>
    <t>SignupDate</t>
  </si>
  <si>
    <t>LeadSource</t>
  </si>
  <si>
    <t>CustomerSegment</t>
  </si>
  <si>
    <t>TotalPurchases</t>
  </si>
  <si>
    <t>TotalSpend</t>
  </si>
  <si>
    <t>LastContactDate</t>
  </si>
  <si>
    <t>CUST001</t>
  </si>
  <si>
    <t>Liam</t>
  </si>
  <si>
    <t>Smith</t>
  </si>
  <si>
    <t>liam.s@email.com</t>
  </si>
  <si>
    <t>CUST002</t>
  </si>
  <si>
    <t>Olivia</t>
  </si>
  <si>
    <t>Johnson</t>
  </si>
  <si>
    <t>olivia.j@email.com</t>
  </si>
  <si>
    <t>Referral</t>
  </si>
  <si>
    <t>Individual</t>
  </si>
  <si>
    <t>CUST003</t>
  </si>
  <si>
    <t>Noah</t>
  </si>
  <si>
    <t>Williams</t>
  </si>
  <si>
    <t>noah.w@email.com</t>
  </si>
  <si>
    <t>Social Media</t>
  </si>
  <si>
    <t>CUST004</t>
  </si>
  <si>
    <t>Emma</t>
  </si>
  <si>
    <t>Brown</t>
  </si>
  <si>
    <t>emma.b@email.com</t>
  </si>
  <si>
    <t>Enterprise</t>
  </si>
  <si>
    <t>CUST005</t>
  </si>
  <si>
    <t>Oliver</t>
  </si>
  <si>
    <t>Jones</t>
  </si>
  <si>
    <t>oliver.j@email.com</t>
  </si>
  <si>
    <t>CUST006</t>
  </si>
  <si>
    <t>Ava</t>
  </si>
  <si>
    <t>Garcia</t>
  </si>
  <si>
    <t>ava.g@email.com</t>
  </si>
  <si>
    <t>CUST007</t>
  </si>
  <si>
    <t>Elijah</t>
  </si>
  <si>
    <t>Miller</t>
  </si>
  <si>
    <t>elijah.m@email.com</t>
  </si>
  <si>
    <t>CUST008</t>
  </si>
  <si>
    <t>Charlotte</t>
  </si>
  <si>
    <t>Davis</t>
  </si>
  <si>
    <t>charlotte.d@email.com</t>
  </si>
  <si>
    <t>CUST009</t>
  </si>
  <si>
    <t>William</t>
  </si>
  <si>
    <t>Rodriguez</t>
  </si>
  <si>
    <t>william.r@email.com</t>
  </si>
  <si>
    <t>CUST010</t>
  </si>
  <si>
    <t>Sophia</t>
  </si>
  <si>
    <t>Martinez</t>
  </si>
  <si>
    <t>sophia.m@email.com</t>
  </si>
  <si>
    <t>CUST011</t>
  </si>
  <si>
    <t>James</t>
  </si>
  <si>
    <t>Hernandez</t>
  </si>
  <si>
    <t>james.h@email.com</t>
  </si>
  <si>
    <t>CUST012</t>
  </si>
  <si>
    <t>Amelia</t>
  </si>
  <si>
    <t>Lopez</t>
  </si>
  <si>
    <t>amelia.l@email.com</t>
  </si>
  <si>
    <t>CUST013</t>
  </si>
  <si>
    <t>Benjamin</t>
  </si>
  <si>
    <t>Gonzalez</t>
  </si>
  <si>
    <t>benjamin.g@email.com</t>
  </si>
  <si>
    <t>CUST014</t>
  </si>
  <si>
    <t>Isabella</t>
  </si>
  <si>
    <t>Wilson</t>
  </si>
  <si>
    <t>isabella.w@email.com</t>
  </si>
  <si>
    <t>CUST015</t>
  </si>
  <si>
    <t>Lucas</t>
  </si>
  <si>
    <t>Anderson</t>
  </si>
  <si>
    <t>lucas.a@email.com</t>
  </si>
  <si>
    <t>CUST016</t>
  </si>
  <si>
    <t>Mia</t>
  </si>
  <si>
    <t>Thomas</t>
  </si>
  <si>
    <t>mia.t@email.com</t>
  </si>
  <si>
    <t>CUST017</t>
  </si>
  <si>
    <t>Henry</t>
  </si>
  <si>
    <t>Taylor</t>
  </si>
  <si>
    <t>henry.t@email.com</t>
  </si>
  <si>
    <t>CUST018</t>
  </si>
  <si>
    <t>Evelyn</t>
  </si>
  <si>
    <t>Moore</t>
  </si>
  <si>
    <t>evelyn.m@email.com</t>
  </si>
  <si>
    <t>CUST019</t>
  </si>
  <si>
    <t>Alexander</t>
  </si>
  <si>
    <t>Jackson</t>
  </si>
  <si>
    <t>alexander.j@email.com</t>
  </si>
  <si>
    <t>CUST020</t>
  </si>
  <si>
    <t>Harper</t>
  </si>
  <si>
    <t>Martin</t>
  </si>
  <si>
    <t>harper.m@email.com</t>
  </si>
  <si>
    <t>CUST021</t>
  </si>
  <si>
    <t>Sebastian</t>
  </si>
  <si>
    <t>Lee</t>
  </si>
  <si>
    <t>sebastian.l@email.com</t>
  </si>
  <si>
    <t>CUST022</t>
  </si>
  <si>
    <t>Camila</t>
  </si>
  <si>
    <t>Perez</t>
  </si>
  <si>
    <t>camila.p@email.com</t>
  </si>
  <si>
    <t>CUST023</t>
  </si>
  <si>
    <t>Jack</t>
  </si>
  <si>
    <t>Thompson</t>
  </si>
  <si>
    <t>jack.t@email.com</t>
  </si>
  <si>
    <t>CUST024</t>
  </si>
  <si>
    <t>Aria</t>
  </si>
  <si>
    <t>White</t>
  </si>
  <si>
    <t>aria.w@email.com</t>
  </si>
  <si>
    <t>CUST025</t>
  </si>
  <si>
    <t>Owen</t>
  </si>
  <si>
    <t>Harris</t>
  </si>
  <si>
    <t>owen.h@email.com</t>
  </si>
  <si>
    <t>CUST026</t>
  </si>
  <si>
    <t>Scarlett</t>
  </si>
  <si>
    <t>Sanchez</t>
  </si>
  <si>
    <t>scarlett.s@email.com</t>
  </si>
  <si>
    <t>CUST027</t>
  </si>
  <si>
    <t>Theodore</t>
  </si>
  <si>
    <t>Clark</t>
  </si>
  <si>
    <t>theodore.c@email.com</t>
  </si>
  <si>
    <t>CUST028</t>
  </si>
  <si>
    <t>Abigail</t>
  </si>
  <si>
    <t>Ramirez</t>
  </si>
  <si>
    <t>abigail.r@email.com</t>
  </si>
  <si>
    <t>CUST029</t>
  </si>
  <si>
    <t>Mateo</t>
  </si>
  <si>
    <t>Lewis</t>
  </si>
  <si>
    <t>mateo.l@email.com</t>
  </si>
  <si>
    <t>CUST030</t>
  </si>
  <si>
    <t>Emily</t>
  </si>
  <si>
    <t>Robinson</t>
  </si>
  <si>
    <t>emily.r@email.com</t>
  </si>
  <si>
    <t>CUST031</t>
  </si>
  <si>
    <t>Daniel</t>
  </si>
  <si>
    <t>Wright</t>
  </si>
  <si>
    <t>daniel.w@email.com</t>
  </si>
  <si>
    <t>CUST032</t>
  </si>
  <si>
    <t>Chloe</t>
  </si>
  <si>
    <t>Hill</t>
  </si>
  <si>
    <t>chloe.h@email.com</t>
  </si>
  <si>
    <t>CUST033</t>
  </si>
  <si>
    <t>Joseph</t>
  </si>
  <si>
    <t>Scott</t>
  </si>
  <si>
    <t>joseph.s@email.com</t>
  </si>
  <si>
    <t>CUST034</t>
  </si>
  <si>
    <t>Penelope</t>
  </si>
  <si>
    <t>Green</t>
  </si>
  <si>
    <t>penelope.g@email.com</t>
  </si>
  <si>
    <t>CUST035</t>
  </si>
  <si>
    <t>Levi</t>
  </si>
  <si>
    <t>Adams</t>
  </si>
  <si>
    <t>levi.a@email.com</t>
  </si>
  <si>
    <t>CUST036</t>
  </si>
  <si>
    <t>Grace</t>
  </si>
  <si>
    <t>Baker</t>
  </si>
  <si>
    <t>grace.b@email.com</t>
  </si>
  <si>
    <t>CUST037</t>
  </si>
  <si>
    <t>Samuel</t>
  </si>
  <si>
    <t>Nelson</t>
  </si>
  <si>
    <t>samuel.n@email.com</t>
  </si>
  <si>
    <t>CUST038</t>
  </si>
  <si>
    <t>Riley</t>
  </si>
  <si>
    <t>Carter</t>
  </si>
  <si>
    <t>riley.c@email.com</t>
  </si>
  <si>
    <t>CUST039</t>
  </si>
  <si>
    <t>Wyatt</t>
  </si>
  <si>
    <t>Mitchell</t>
  </si>
  <si>
    <t>wyatt.m@email.com</t>
  </si>
  <si>
    <t>CUST040</t>
  </si>
  <si>
    <t>Eleanor</t>
  </si>
  <si>
    <t>eleanor.p@email.com</t>
  </si>
  <si>
    <t>CUST041</t>
  </si>
  <si>
    <t>Julian</t>
  </si>
  <si>
    <t>Roberts</t>
  </si>
  <si>
    <t>julian.r@email.com</t>
  </si>
  <si>
    <t>CUST042</t>
  </si>
  <si>
    <t>Nora</t>
  </si>
  <si>
    <t>Turner</t>
  </si>
  <si>
    <t>nora.t@email.com</t>
  </si>
  <si>
    <t>CUST043</t>
  </si>
  <si>
    <t>Lincoln</t>
  </si>
  <si>
    <t>Phillips</t>
  </si>
  <si>
    <t>lincoln.p@email.com</t>
  </si>
  <si>
    <t>CUST044</t>
  </si>
  <si>
    <t>Stella</t>
  </si>
  <si>
    <t>Campbell</t>
  </si>
  <si>
    <t>stella.c@email.com</t>
  </si>
  <si>
    <t>CUST045</t>
  </si>
  <si>
    <t>Leo</t>
  </si>
  <si>
    <t>Parker</t>
  </si>
  <si>
    <t>leo.p@email.com</t>
  </si>
  <si>
    <t>CUST046</t>
  </si>
  <si>
    <t>Hazel</t>
  </si>
  <si>
    <t>Evans</t>
  </si>
  <si>
    <t>hazel.e@email.com</t>
  </si>
  <si>
    <t>CUST047</t>
  </si>
  <si>
    <t>Isaiah</t>
  </si>
  <si>
    <t>Edwards</t>
  </si>
  <si>
    <t>isaiah.e@email.com</t>
  </si>
  <si>
    <t>CUST048</t>
  </si>
  <si>
    <t>Aurora</t>
  </si>
  <si>
    <t>Collins</t>
  </si>
  <si>
    <t>aurora.c@email.com</t>
  </si>
  <si>
    <t>CUST049</t>
  </si>
  <si>
    <t>Miles</t>
  </si>
  <si>
    <t>Stewart</t>
  </si>
  <si>
    <t>miles.s@email.com</t>
  </si>
  <si>
    <t>CUST050</t>
  </si>
  <si>
    <t>Violet</t>
  </si>
  <si>
    <t>Morris</t>
  </si>
  <si>
    <t>violet.m@email.com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</si>
</sst>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b/>
      <color rgb="FFFFFFFF"/>
      <name val="Work Sans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 t="s">
        <v>1</v>
      </c>
      <c r="F1" s="3" t="s">
        <v>2</v>
      </c>
      <c r="G1" s="3" t="s">
        <v>3</v>
      </c>
      <c r="H1" s="3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 t="s">
        <v>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2"/>
      <c r="L3" s="2"/>
      <c r="M3" s="2" t="str">
        <f>IFERROR(__xludf.DUMMYFUNCTION("query('09 - Project Dynamic Query'!CUS_table,""Select A,B,C where F= '"" &amp; F1 &amp; ""' and G= '"" &amp;H1&amp; ""'"")"),"CustomerID")</f>
        <v>CustomerID</v>
      </c>
      <c r="N3" s="2" t="str">
        <f>IFERROR(__xludf.DUMMYFUNCTION("""COMPUTED_VALUE"""),"FirstName")</f>
        <v>FirstName</v>
      </c>
      <c r="O3" s="2" t="str">
        <f>IFERROR(__xludf.DUMMYFUNCTION("""COMPUTED_VALUE"""),"LastName")</f>
        <v>LastName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6">
        <v>45306.0</v>
      </c>
      <c r="F4" s="3" t="s">
        <v>2</v>
      </c>
      <c r="G4" s="3" t="s">
        <v>4</v>
      </c>
      <c r="H4" s="3">
        <v>5.0</v>
      </c>
      <c r="I4" s="3">
        <v>450.75</v>
      </c>
      <c r="J4" s="6">
        <v>45881.0</v>
      </c>
      <c r="K4" s="2"/>
      <c r="L4" s="2"/>
      <c r="M4" s="2" t="str">
        <f>IFERROR(__xludf.DUMMYFUNCTION("""COMPUTED_VALUE"""),"CUST001")</f>
        <v>CUST001</v>
      </c>
      <c r="N4" s="2" t="str">
        <f>IFERROR(__xludf.DUMMYFUNCTION("""COMPUTED_VALUE"""),"Liam")</f>
        <v>Liam</v>
      </c>
      <c r="O4" s="2" t="str">
        <f>IFERROR(__xludf.DUMMYFUNCTION("""COMPUTED_VALUE"""),"Smith")</f>
        <v>Smith</v>
      </c>
      <c r="P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6">
        <v>45311.0</v>
      </c>
      <c r="F5" s="3" t="s">
        <v>24</v>
      </c>
      <c r="G5" s="3" t="s">
        <v>25</v>
      </c>
      <c r="H5" s="3">
        <v>2.0</v>
      </c>
      <c r="I5" s="3">
        <v>120.0</v>
      </c>
      <c r="J5" s="6">
        <v>45901.0</v>
      </c>
      <c r="K5" s="2"/>
      <c r="L5" s="2"/>
      <c r="M5" s="2" t="str">
        <f>IFERROR(__xludf.DUMMYFUNCTION("""COMPUTED_VALUE"""),"CUST006")</f>
        <v>CUST006</v>
      </c>
      <c r="N5" s="2" t="str">
        <f>IFERROR(__xludf.DUMMYFUNCTION("""COMPUTED_VALUE"""),"Ava")</f>
        <v>Ava</v>
      </c>
      <c r="O5" s="2" t="str">
        <f>IFERROR(__xludf.DUMMYFUNCTION("""COMPUTED_VALUE"""),"Garcia")</f>
        <v>Garcia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6">
        <v>45323.0</v>
      </c>
      <c r="F6" s="3" t="s">
        <v>30</v>
      </c>
      <c r="G6" s="3" t="s">
        <v>4</v>
      </c>
      <c r="H6" s="3">
        <v>8.0</v>
      </c>
      <c r="I6" s="3">
        <v>890.5</v>
      </c>
      <c r="J6" s="6">
        <v>45863.0</v>
      </c>
      <c r="K6" s="2"/>
      <c r="L6" s="2"/>
      <c r="M6" s="2" t="str">
        <f>IFERROR(__xludf.DUMMYFUNCTION("""COMPUTED_VALUE"""),"CUST017")</f>
        <v>CUST017</v>
      </c>
      <c r="N6" s="2" t="str">
        <f>IFERROR(__xludf.DUMMYFUNCTION("""COMPUTED_VALUE"""),"Henry")</f>
        <v>Henry</v>
      </c>
      <c r="O6" s="2" t="str">
        <f>IFERROR(__xludf.DUMMYFUNCTION("""COMPUTED_VALUE"""),"Taylor")</f>
        <v>Taylor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6">
        <v>45327.0</v>
      </c>
      <c r="F7" s="3" t="s">
        <v>2</v>
      </c>
      <c r="G7" s="3" t="s">
        <v>35</v>
      </c>
      <c r="H7" s="3">
        <v>12.0</v>
      </c>
      <c r="I7" s="3">
        <v>2500.0</v>
      </c>
      <c r="J7" s="6">
        <v>45889.0</v>
      </c>
      <c r="K7" s="2"/>
      <c r="L7" s="2"/>
      <c r="M7" s="2" t="str">
        <f>IFERROR(__xludf.DUMMYFUNCTION("""COMPUTED_VALUE"""),"CUST019")</f>
        <v>CUST019</v>
      </c>
      <c r="N7" s="2" t="str">
        <f>IFERROR(__xludf.DUMMYFUNCTION("""COMPUTED_VALUE"""),"Alexander")</f>
        <v>Alexander</v>
      </c>
      <c r="O7" s="2" t="str">
        <f>IFERROR(__xludf.DUMMYFUNCTION("""COMPUTED_VALUE"""),"Jackson")</f>
        <v>Jackson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</v>
      </c>
      <c r="B8" s="3" t="s">
        <v>37</v>
      </c>
      <c r="C8" s="3" t="s">
        <v>38</v>
      </c>
      <c r="D8" s="3" t="s">
        <v>39</v>
      </c>
      <c r="E8" s="6">
        <v>45340.0</v>
      </c>
      <c r="F8" s="3" t="s">
        <v>9</v>
      </c>
      <c r="G8" s="3" t="s">
        <v>25</v>
      </c>
      <c r="H8" s="3">
        <v>1.0</v>
      </c>
      <c r="I8" s="3">
        <v>55.25</v>
      </c>
      <c r="J8" s="6">
        <v>45823.0</v>
      </c>
      <c r="K8" s="2"/>
      <c r="L8" s="2"/>
      <c r="M8" s="2" t="str">
        <f>IFERROR(__xludf.DUMMYFUNCTION("""COMPUTED_VALUE"""),"CUST027")</f>
        <v>CUST027</v>
      </c>
      <c r="N8" s="2" t="str">
        <f>IFERROR(__xludf.DUMMYFUNCTION("""COMPUTED_VALUE"""),"Theodore")</f>
        <v>Theodore</v>
      </c>
      <c r="O8" s="2" t="str">
        <f>IFERROR(__xludf.DUMMYFUNCTION("""COMPUTED_VALUE"""),"Clark")</f>
        <v>Clark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6">
        <v>45354.0</v>
      </c>
      <c r="F9" s="3" t="s">
        <v>2</v>
      </c>
      <c r="G9" s="3" t="s">
        <v>4</v>
      </c>
      <c r="H9" s="3">
        <v>6.0</v>
      </c>
      <c r="I9" s="3">
        <v>530.0</v>
      </c>
      <c r="J9" s="6">
        <v>45905.0</v>
      </c>
      <c r="K9" s="2"/>
      <c r="L9" s="2"/>
      <c r="M9" s="2" t="str">
        <f>IFERROR(__xludf.DUMMYFUNCTION("""COMPUTED_VALUE"""),"CUST031")</f>
        <v>CUST031</v>
      </c>
      <c r="N9" s="2" t="str">
        <f>IFERROR(__xludf.DUMMYFUNCTION("""COMPUTED_VALUE"""),"Daniel")</f>
        <v>Daniel</v>
      </c>
      <c r="O9" s="2" t="str">
        <f>IFERROR(__xludf.DUMMYFUNCTION("""COMPUTED_VALUE"""),"Wright")</f>
        <v>Wright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44</v>
      </c>
      <c r="B10" s="3" t="s">
        <v>45</v>
      </c>
      <c r="C10" s="3" t="s">
        <v>46</v>
      </c>
      <c r="D10" s="3" t="s">
        <v>47</v>
      </c>
      <c r="E10" s="6">
        <v>45361.0</v>
      </c>
      <c r="F10" s="3" t="s">
        <v>24</v>
      </c>
      <c r="G10" s="3" t="s">
        <v>4</v>
      </c>
      <c r="H10" s="3">
        <v>4.0</v>
      </c>
      <c r="I10" s="3">
        <v>320.8</v>
      </c>
      <c r="J10" s="6">
        <v>45883.0</v>
      </c>
      <c r="K10" s="2"/>
      <c r="L10" s="2"/>
      <c r="M10" s="2" t="str">
        <f>IFERROR(__xludf.DUMMYFUNCTION("""COMPUTED_VALUE"""),"CUST036")</f>
        <v>CUST036</v>
      </c>
      <c r="N10" s="2" t="str">
        <f>IFERROR(__xludf.DUMMYFUNCTION("""COMPUTED_VALUE"""),"Grace")</f>
        <v>Grace</v>
      </c>
      <c r="O10" s="2" t="str">
        <f>IFERROR(__xludf.DUMMYFUNCTION("""COMPUTED_VALUE"""),"Baker")</f>
        <v>Baker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6">
        <v>45373.0</v>
      </c>
      <c r="F11" s="3" t="s">
        <v>30</v>
      </c>
      <c r="G11" s="3" t="s">
        <v>35</v>
      </c>
      <c r="H11" s="3">
        <v>15.0</v>
      </c>
      <c r="I11" s="3">
        <v>3100.0</v>
      </c>
      <c r="J11" s="6">
        <v>45868.0</v>
      </c>
      <c r="K11" s="2"/>
      <c r="L11" s="2"/>
      <c r="M11" s="2" t="str">
        <f>IFERROR(__xludf.DUMMYFUNCTION("""COMPUTED_VALUE"""),"CUST039")</f>
        <v>CUST039</v>
      </c>
      <c r="N11" s="2" t="str">
        <f>IFERROR(__xludf.DUMMYFUNCTION("""COMPUTED_VALUE"""),"Wyatt")</f>
        <v>Wyatt</v>
      </c>
      <c r="O11" s="2" t="str">
        <f>IFERROR(__xludf.DUMMYFUNCTION("""COMPUTED_VALUE"""),"Mitchell")</f>
        <v>Mitchell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52</v>
      </c>
      <c r="B12" s="3" t="s">
        <v>53</v>
      </c>
      <c r="C12" s="3" t="s">
        <v>54</v>
      </c>
      <c r="D12" s="3" t="s">
        <v>55</v>
      </c>
      <c r="E12" s="6">
        <v>45387.0</v>
      </c>
      <c r="F12" s="3" t="s">
        <v>2</v>
      </c>
      <c r="G12" s="3" t="s">
        <v>25</v>
      </c>
      <c r="H12" s="3">
        <v>3.0</v>
      </c>
      <c r="I12" s="3">
        <v>150.45</v>
      </c>
      <c r="J12" s="6">
        <v>45911.0</v>
      </c>
      <c r="K12" s="2"/>
      <c r="L12" s="2"/>
      <c r="M12" s="2" t="str">
        <f>IFERROR(__xludf.DUMMYFUNCTION("""COMPUTED_VALUE"""),"CUST047")</f>
        <v>CUST047</v>
      </c>
      <c r="N12" s="2" t="str">
        <f>IFERROR(__xludf.DUMMYFUNCTION("""COMPUTED_VALUE"""),"Isaiah")</f>
        <v>Isaiah</v>
      </c>
      <c r="O12" s="2" t="str">
        <f>IFERROR(__xludf.DUMMYFUNCTION("""COMPUTED_VALUE"""),"Edwards")</f>
        <v>Edwards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56</v>
      </c>
      <c r="B13" s="3" t="s">
        <v>57</v>
      </c>
      <c r="C13" s="3" t="s">
        <v>58</v>
      </c>
      <c r="D13" s="3" t="s">
        <v>59</v>
      </c>
      <c r="E13" s="6">
        <v>45393.0</v>
      </c>
      <c r="F13" s="3" t="s">
        <v>9</v>
      </c>
      <c r="G13" s="3" t="s">
        <v>4</v>
      </c>
      <c r="H13" s="3">
        <v>7.0</v>
      </c>
      <c r="I13" s="3">
        <v>680.0</v>
      </c>
      <c r="J13" s="6">
        <v>45870.0</v>
      </c>
      <c r="K13" s="2"/>
      <c r="L13" s="2"/>
      <c r="M13" s="2" t="str">
        <f>IFERROR(__xludf.DUMMYFUNCTION("""COMPUTED_VALUE"""),"CUST049")</f>
        <v>CUST049</v>
      </c>
      <c r="N13" s="2" t="str">
        <f>IFERROR(__xludf.DUMMYFUNCTION("""COMPUTED_VALUE"""),"Miles")</f>
        <v>Miles</v>
      </c>
      <c r="O13" s="2" t="str">
        <f>IFERROR(__xludf.DUMMYFUNCTION("""COMPUTED_VALUE"""),"Stewart")</f>
        <v>Stewart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60</v>
      </c>
      <c r="B14" s="3" t="s">
        <v>61</v>
      </c>
      <c r="C14" s="3" t="s">
        <v>62</v>
      </c>
      <c r="D14" s="3" t="s">
        <v>63</v>
      </c>
      <c r="E14" s="6">
        <v>45401.0</v>
      </c>
      <c r="F14" s="3" t="s">
        <v>24</v>
      </c>
      <c r="G14" s="3" t="s">
        <v>25</v>
      </c>
      <c r="H14" s="3">
        <v>2.0</v>
      </c>
      <c r="I14" s="3">
        <v>99.99</v>
      </c>
      <c r="J14" s="6">
        <v>45856.0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64</v>
      </c>
      <c r="B15" s="3" t="s">
        <v>65</v>
      </c>
      <c r="C15" s="3" t="s">
        <v>66</v>
      </c>
      <c r="D15" s="3" t="s">
        <v>67</v>
      </c>
      <c r="E15" s="6">
        <v>45414.0</v>
      </c>
      <c r="F15" s="3" t="s">
        <v>2</v>
      </c>
      <c r="G15" s="3" t="s">
        <v>35</v>
      </c>
      <c r="H15" s="3">
        <v>10.0</v>
      </c>
      <c r="I15" s="3">
        <v>1800.7</v>
      </c>
      <c r="J15" s="6">
        <v>45903.0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68</v>
      </c>
      <c r="B16" s="3" t="s">
        <v>69</v>
      </c>
      <c r="C16" s="3" t="s">
        <v>70</v>
      </c>
      <c r="D16" s="3" t="s">
        <v>71</v>
      </c>
      <c r="E16" s="6">
        <v>45421.0</v>
      </c>
      <c r="F16" s="3" t="s">
        <v>30</v>
      </c>
      <c r="G16" s="3" t="s">
        <v>4</v>
      </c>
      <c r="H16" s="3">
        <v>5.0</v>
      </c>
      <c r="I16" s="3">
        <v>490.2</v>
      </c>
      <c r="J16" s="6">
        <v>45891.0</v>
      </c>
      <c r="K16" s="2"/>
      <c r="L16" s="2"/>
      <c r="M16" s="2" t="str">
        <f>FORMULATEXT(M3)</f>
        <v>=query('09 - Project Dynamic Query'!CUS_table,"Select A,B,C where F= '" &amp; F1 &amp; "' and G= '" &amp;H1&amp; "'")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72</v>
      </c>
      <c r="B17" s="3" t="s">
        <v>73</v>
      </c>
      <c r="C17" s="3" t="s">
        <v>74</v>
      </c>
      <c r="D17" s="3" t="s">
        <v>75</v>
      </c>
      <c r="E17" s="6">
        <v>45433.0</v>
      </c>
      <c r="F17" s="3" t="s">
        <v>2</v>
      </c>
      <c r="G17" s="3" t="s">
        <v>25</v>
      </c>
      <c r="H17" s="3">
        <v>1.0</v>
      </c>
      <c r="I17" s="3">
        <v>75.0</v>
      </c>
      <c r="J17" s="6">
        <v>45915.0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76</v>
      </c>
      <c r="B18" s="3" t="s">
        <v>77</v>
      </c>
      <c r="C18" s="3" t="s">
        <v>78</v>
      </c>
      <c r="D18" s="3" t="s">
        <v>79</v>
      </c>
      <c r="E18" s="6">
        <v>45447.0</v>
      </c>
      <c r="F18" s="3" t="s">
        <v>9</v>
      </c>
      <c r="G18" s="3" t="s">
        <v>4</v>
      </c>
      <c r="H18" s="3">
        <v>9.0</v>
      </c>
      <c r="I18" s="3">
        <v>1100.0</v>
      </c>
      <c r="J18" s="6">
        <v>45897.0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80</v>
      </c>
      <c r="B19" s="3" t="s">
        <v>81</v>
      </c>
      <c r="C19" s="3" t="s">
        <v>82</v>
      </c>
      <c r="D19" s="3" t="s">
        <v>83</v>
      </c>
      <c r="E19" s="6">
        <v>45455.0</v>
      </c>
      <c r="F19" s="3" t="s">
        <v>24</v>
      </c>
      <c r="G19" s="3" t="s">
        <v>35</v>
      </c>
      <c r="H19" s="3">
        <v>11.0</v>
      </c>
      <c r="I19" s="3">
        <v>2150.5</v>
      </c>
      <c r="J19" s="6">
        <v>45902.0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6">
        <v>45461.0</v>
      </c>
      <c r="F20" s="3" t="s">
        <v>2</v>
      </c>
      <c r="G20" s="3" t="s">
        <v>4</v>
      </c>
      <c r="H20" s="3">
        <v>4.0</v>
      </c>
      <c r="I20" s="3">
        <v>380.0</v>
      </c>
      <c r="J20" s="6">
        <v>45859.0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88</v>
      </c>
      <c r="B21" s="3" t="s">
        <v>89</v>
      </c>
      <c r="C21" s="3" t="s">
        <v>90</v>
      </c>
      <c r="D21" s="3" t="s">
        <v>91</v>
      </c>
      <c r="E21" s="6">
        <v>45468.0</v>
      </c>
      <c r="F21" s="3" t="s">
        <v>30</v>
      </c>
      <c r="G21" s="3" t="s">
        <v>25</v>
      </c>
      <c r="H21" s="3">
        <v>3.0</v>
      </c>
      <c r="I21" s="3">
        <v>210.3</v>
      </c>
      <c r="J21" s="6">
        <v>45888.0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92</v>
      </c>
      <c r="B22" s="3" t="s">
        <v>93</v>
      </c>
      <c r="C22" s="3" t="s">
        <v>94</v>
      </c>
      <c r="D22" s="3" t="s">
        <v>95</v>
      </c>
      <c r="E22" s="6">
        <v>45474.0</v>
      </c>
      <c r="F22" s="3" t="s">
        <v>2</v>
      </c>
      <c r="G22" s="3" t="s">
        <v>4</v>
      </c>
      <c r="H22" s="3">
        <v>6.0</v>
      </c>
      <c r="I22" s="3">
        <v>555.5</v>
      </c>
      <c r="J22" s="6">
        <v>45908.0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96</v>
      </c>
      <c r="B23" s="3" t="s">
        <v>97</v>
      </c>
      <c r="C23" s="3" t="s">
        <v>98</v>
      </c>
      <c r="D23" s="3" t="s">
        <v>99</v>
      </c>
      <c r="E23" s="6">
        <v>45481.0</v>
      </c>
      <c r="F23" s="3" t="s">
        <v>9</v>
      </c>
      <c r="G23" s="3" t="s">
        <v>35</v>
      </c>
      <c r="H23" s="3">
        <v>18.0</v>
      </c>
      <c r="I23" s="3">
        <v>4500.0</v>
      </c>
      <c r="J23" s="6">
        <v>45880.0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6">
        <v>45488.0</v>
      </c>
      <c r="F24" s="3" t="s">
        <v>24</v>
      </c>
      <c r="G24" s="3" t="s">
        <v>4</v>
      </c>
      <c r="H24" s="3">
        <v>3.0</v>
      </c>
      <c r="I24" s="3">
        <v>290.0</v>
      </c>
      <c r="J24" s="6">
        <v>45866.0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104</v>
      </c>
      <c r="B25" s="3" t="s">
        <v>105</v>
      </c>
      <c r="C25" s="3" t="s">
        <v>106</v>
      </c>
      <c r="D25" s="3" t="s">
        <v>107</v>
      </c>
      <c r="E25" s="6">
        <v>45496.0</v>
      </c>
      <c r="F25" s="3" t="s">
        <v>2</v>
      </c>
      <c r="G25" s="3" t="s">
        <v>25</v>
      </c>
      <c r="H25" s="3">
        <v>2.0</v>
      </c>
      <c r="I25" s="3">
        <v>85.75</v>
      </c>
      <c r="J25" s="6">
        <v>45914.0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108</v>
      </c>
      <c r="B26" s="3" t="s">
        <v>109</v>
      </c>
      <c r="C26" s="3" t="s">
        <v>110</v>
      </c>
      <c r="D26" s="3" t="s">
        <v>111</v>
      </c>
      <c r="E26" s="6">
        <v>45506.0</v>
      </c>
      <c r="F26" s="3" t="s">
        <v>30</v>
      </c>
      <c r="G26" s="3" t="s">
        <v>4</v>
      </c>
      <c r="H26" s="3">
        <v>7.0</v>
      </c>
      <c r="I26" s="3">
        <v>720.0</v>
      </c>
      <c r="J26" s="6">
        <v>45899.0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112</v>
      </c>
      <c r="B27" s="3" t="s">
        <v>113</v>
      </c>
      <c r="C27" s="3" t="s">
        <v>114</v>
      </c>
      <c r="D27" s="3" t="s">
        <v>115</v>
      </c>
      <c r="E27" s="6">
        <v>45513.0</v>
      </c>
      <c r="F27" s="3" t="s">
        <v>2</v>
      </c>
      <c r="G27" s="3" t="s">
        <v>35</v>
      </c>
      <c r="H27" s="3">
        <v>14.0</v>
      </c>
      <c r="I27" s="3">
        <v>2950.25</v>
      </c>
      <c r="J27" s="6">
        <v>45904.0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116</v>
      </c>
      <c r="B28" s="3" t="s">
        <v>117</v>
      </c>
      <c r="C28" s="3" t="s">
        <v>118</v>
      </c>
      <c r="D28" s="3" t="s">
        <v>119</v>
      </c>
      <c r="E28" s="6">
        <v>45520.0</v>
      </c>
      <c r="F28" s="3" t="s">
        <v>9</v>
      </c>
      <c r="G28" s="3" t="s">
        <v>25</v>
      </c>
      <c r="H28" s="3">
        <v>1.0</v>
      </c>
      <c r="I28" s="3">
        <v>49.5</v>
      </c>
      <c r="J28" s="6">
        <v>45853.0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6">
        <v>45526.0</v>
      </c>
      <c r="F29" s="3" t="s">
        <v>24</v>
      </c>
      <c r="G29" s="3" t="s">
        <v>4</v>
      </c>
      <c r="H29" s="3">
        <v>5.0</v>
      </c>
      <c r="I29" s="3">
        <v>480.0</v>
      </c>
      <c r="J29" s="6">
        <v>45894.0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124</v>
      </c>
      <c r="B30" s="3" t="s">
        <v>125</v>
      </c>
      <c r="C30" s="3" t="s">
        <v>126</v>
      </c>
      <c r="D30" s="3" t="s">
        <v>127</v>
      </c>
      <c r="E30" s="6">
        <v>45536.0</v>
      </c>
      <c r="F30" s="3" t="s">
        <v>2</v>
      </c>
      <c r="G30" s="3" t="s">
        <v>4</v>
      </c>
      <c r="H30" s="3">
        <v>8.0</v>
      </c>
      <c r="I30" s="3">
        <v>950.6</v>
      </c>
      <c r="J30" s="6">
        <v>45912.0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6">
        <v>45540.0</v>
      </c>
      <c r="F31" s="3" t="s">
        <v>30</v>
      </c>
      <c r="G31" s="3" t="s">
        <v>25</v>
      </c>
      <c r="H31" s="3">
        <v>2.0</v>
      </c>
      <c r="I31" s="3">
        <v>130.0</v>
      </c>
      <c r="J31" s="6">
        <v>45874.0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6">
        <v>45545.0</v>
      </c>
      <c r="F32" s="3" t="s">
        <v>2</v>
      </c>
      <c r="G32" s="3" t="s">
        <v>35</v>
      </c>
      <c r="H32" s="3">
        <v>16.0</v>
      </c>
      <c r="I32" s="3">
        <v>3600.0</v>
      </c>
      <c r="J32" s="6">
        <v>45909.0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6">
        <v>45549.0</v>
      </c>
      <c r="F33" s="3" t="s">
        <v>9</v>
      </c>
      <c r="G33" s="3" t="s">
        <v>4</v>
      </c>
      <c r="H33" s="3">
        <v>4.0</v>
      </c>
      <c r="I33" s="3">
        <v>410.25</v>
      </c>
      <c r="J33" s="6">
        <v>45887.0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6">
        <v>45555.0</v>
      </c>
      <c r="F34" s="3" t="s">
        <v>2</v>
      </c>
      <c r="G34" s="3" t="s">
        <v>4</v>
      </c>
      <c r="H34" s="3">
        <v>6.0</v>
      </c>
      <c r="I34" s="3">
        <v>580.4</v>
      </c>
      <c r="J34" s="6">
        <v>45916.0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6">
        <v>45560.0</v>
      </c>
      <c r="F35" s="3" t="s">
        <v>24</v>
      </c>
      <c r="G35" s="3" t="s">
        <v>25</v>
      </c>
      <c r="H35" s="3">
        <v>3.0</v>
      </c>
      <c r="I35" s="3">
        <v>195.0</v>
      </c>
      <c r="J35" s="6">
        <v>45890.0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6">
        <v>45567.0</v>
      </c>
      <c r="F36" s="3" t="s">
        <v>30</v>
      </c>
      <c r="G36" s="3" t="s">
        <v>35</v>
      </c>
      <c r="H36" s="3">
        <v>20.0</v>
      </c>
      <c r="I36" s="3">
        <v>5200.75</v>
      </c>
      <c r="J36" s="6">
        <v>45910.0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6">
        <v>45574.0</v>
      </c>
      <c r="F37" s="3" t="s">
        <v>9</v>
      </c>
      <c r="G37" s="3" t="s">
        <v>4</v>
      </c>
      <c r="H37" s="3">
        <v>7.0</v>
      </c>
      <c r="I37" s="3">
        <v>650.0</v>
      </c>
      <c r="J37" s="6">
        <v>45918.0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156</v>
      </c>
      <c r="B38" s="3" t="s">
        <v>157</v>
      </c>
      <c r="C38" s="3" t="s">
        <v>158</v>
      </c>
      <c r="D38" s="3" t="s">
        <v>159</v>
      </c>
      <c r="E38" s="6">
        <v>45580.0</v>
      </c>
      <c r="F38" s="3" t="s">
        <v>2</v>
      </c>
      <c r="G38" s="3" t="s">
        <v>25</v>
      </c>
      <c r="H38" s="3">
        <v>1.0</v>
      </c>
      <c r="I38" s="3">
        <v>89.95</v>
      </c>
      <c r="J38" s="6">
        <v>45867.0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160</v>
      </c>
      <c r="B39" s="3" t="s">
        <v>161</v>
      </c>
      <c r="C39" s="3" t="s">
        <v>162</v>
      </c>
      <c r="D39" s="3" t="s">
        <v>163</v>
      </c>
      <c r="E39" s="6">
        <v>45587.0</v>
      </c>
      <c r="F39" s="3" t="s">
        <v>2</v>
      </c>
      <c r="G39" s="3" t="s">
        <v>4</v>
      </c>
      <c r="H39" s="3">
        <v>5.0</v>
      </c>
      <c r="I39" s="3">
        <v>510.2</v>
      </c>
      <c r="J39" s="6">
        <v>45906.0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164</v>
      </c>
      <c r="B40" s="3" t="s">
        <v>165</v>
      </c>
      <c r="C40" s="3" t="s">
        <v>166</v>
      </c>
      <c r="D40" s="3" t="s">
        <v>167</v>
      </c>
      <c r="E40" s="6">
        <v>45597.0</v>
      </c>
      <c r="F40" s="3" t="s">
        <v>24</v>
      </c>
      <c r="G40" s="3" t="s">
        <v>35</v>
      </c>
      <c r="H40" s="3">
        <v>12.0</v>
      </c>
      <c r="I40" s="3">
        <v>2800.0</v>
      </c>
      <c r="J40" s="6">
        <v>45913.0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168</v>
      </c>
      <c r="B41" s="3" t="s">
        <v>169</v>
      </c>
      <c r="C41" s="3" t="s">
        <v>170</v>
      </c>
      <c r="D41" s="3" t="s">
        <v>171</v>
      </c>
      <c r="E41" s="6">
        <v>45604.0</v>
      </c>
      <c r="F41" s="3" t="s">
        <v>30</v>
      </c>
      <c r="G41" s="3" t="s">
        <v>25</v>
      </c>
      <c r="H41" s="3">
        <v>4.0</v>
      </c>
      <c r="I41" s="3">
        <v>250.6</v>
      </c>
      <c r="J41" s="6">
        <v>45893.0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172</v>
      </c>
      <c r="B42" s="3" t="s">
        <v>173</v>
      </c>
      <c r="C42" s="3" t="s">
        <v>174</v>
      </c>
      <c r="D42" s="3" t="s">
        <v>175</v>
      </c>
      <c r="E42" s="6">
        <v>45612.0</v>
      </c>
      <c r="F42" s="3" t="s">
        <v>2</v>
      </c>
      <c r="G42" s="3" t="s">
        <v>4</v>
      </c>
      <c r="H42" s="3">
        <v>9.0</v>
      </c>
      <c r="I42" s="3">
        <v>1200.0</v>
      </c>
      <c r="J42" s="6">
        <v>45917.0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176</v>
      </c>
      <c r="B43" s="3" t="s">
        <v>177</v>
      </c>
      <c r="C43" s="3" t="s">
        <v>106</v>
      </c>
      <c r="D43" s="3" t="s">
        <v>178</v>
      </c>
      <c r="E43" s="6">
        <v>45621.0</v>
      </c>
      <c r="F43" s="3" t="s">
        <v>9</v>
      </c>
      <c r="G43" s="3" t="s">
        <v>4</v>
      </c>
      <c r="H43" s="3">
        <v>8.0</v>
      </c>
      <c r="I43" s="3">
        <v>880.8</v>
      </c>
      <c r="J43" s="6">
        <v>45898.0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179</v>
      </c>
      <c r="B44" s="3" t="s">
        <v>180</v>
      </c>
      <c r="C44" s="3" t="s">
        <v>181</v>
      </c>
      <c r="D44" s="3" t="s">
        <v>182</v>
      </c>
      <c r="E44" s="6">
        <v>45629.0</v>
      </c>
      <c r="F44" s="3" t="s">
        <v>24</v>
      </c>
      <c r="G44" s="3" t="s">
        <v>25</v>
      </c>
      <c r="H44" s="3">
        <v>2.0</v>
      </c>
      <c r="I44" s="3">
        <v>115.5</v>
      </c>
      <c r="J44" s="6">
        <v>45907.0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183</v>
      </c>
      <c r="B45" s="3" t="s">
        <v>184</v>
      </c>
      <c r="C45" s="3" t="s">
        <v>185</v>
      </c>
      <c r="D45" s="3" t="s">
        <v>186</v>
      </c>
      <c r="E45" s="6">
        <v>45637.0</v>
      </c>
      <c r="F45" s="3" t="s">
        <v>2</v>
      </c>
      <c r="G45" s="3" t="s">
        <v>35</v>
      </c>
      <c r="H45" s="3">
        <v>17.0</v>
      </c>
      <c r="I45" s="3">
        <v>3950.0</v>
      </c>
      <c r="J45" s="6">
        <v>45919.0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187</v>
      </c>
      <c r="B46" s="3" t="s">
        <v>188</v>
      </c>
      <c r="C46" s="3" t="s">
        <v>189</v>
      </c>
      <c r="D46" s="3" t="s">
        <v>190</v>
      </c>
      <c r="E46" s="6">
        <v>45646.0</v>
      </c>
      <c r="F46" s="3" t="s">
        <v>30</v>
      </c>
      <c r="G46" s="3" t="s">
        <v>4</v>
      </c>
      <c r="H46" s="3">
        <v>6.0</v>
      </c>
      <c r="I46" s="3">
        <v>610.75</v>
      </c>
      <c r="J46" s="6">
        <v>45895.0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191</v>
      </c>
      <c r="B47" s="3" t="s">
        <v>192</v>
      </c>
      <c r="C47" s="3" t="s">
        <v>193</v>
      </c>
      <c r="D47" s="3" t="s">
        <v>194</v>
      </c>
      <c r="E47" s="6">
        <v>45661.0</v>
      </c>
      <c r="F47" s="3" t="s">
        <v>2</v>
      </c>
      <c r="G47" s="3" t="s">
        <v>25</v>
      </c>
      <c r="H47" s="3">
        <v>3.0</v>
      </c>
      <c r="I47" s="3">
        <v>175.0</v>
      </c>
      <c r="J47" s="6">
        <v>45911.0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195</v>
      </c>
      <c r="B48" s="3" t="s">
        <v>196</v>
      </c>
      <c r="C48" s="3" t="s">
        <v>197</v>
      </c>
      <c r="D48" s="3" t="s">
        <v>198</v>
      </c>
      <c r="E48" s="6">
        <v>45669.0</v>
      </c>
      <c r="F48" s="3" t="s">
        <v>9</v>
      </c>
      <c r="G48" s="3" t="s">
        <v>4</v>
      </c>
      <c r="H48" s="3">
        <v>10.0</v>
      </c>
      <c r="I48" s="3">
        <v>1350.25</v>
      </c>
      <c r="J48" s="6">
        <v>45914.0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199</v>
      </c>
      <c r="B49" s="3" t="s">
        <v>200</v>
      </c>
      <c r="C49" s="3" t="s">
        <v>201</v>
      </c>
      <c r="D49" s="3" t="s">
        <v>202</v>
      </c>
      <c r="E49" s="6">
        <v>45678.0</v>
      </c>
      <c r="F49" s="3" t="s">
        <v>24</v>
      </c>
      <c r="G49" s="3" t="s">
        <v>35</v>
      </c>
      <c r="H49" s="3">
        <v>13.0</v>
      </c>
      <c r="I49" s="3">
        <v>2900.5</v>
      </c>
      <c r="J49" s="6">
        <v>45900.0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203</v>
      </c>
      <c r="B50" s="3" t="s">
        <v>204</v>
      </c>
      <c r="C50" s="3" t="s">
        <v>205</v>
      </c>
      <c r="D50" s="3" t="s">
        <v>206</v>
      </c>
      <c r="E50" s="6">
        <v>45685.0</v>
      </c>
      <c r="F50" s="3" t="s">
        <v>2</v>
      </c>
      <c r="G50" s="3" t="s">
        <v>4</v>
      </c>
      <c r="H50" s="3">
        <v>4.0</v>
      </c>
      <c r="I50" s="3">
        <v>360.0</v>
      </c>
      <c r="J50" s="6">
        <v>45909.0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207</v>
      </c>
      <c r="B51" s="3" t="s">
        <v>208</v>
      </c>
      <c r="C51" s="3" t="s">
        <v>209</v>
      </c>
      <c r="D51" s="3" t="s">
        <v>210</v>
      </c>
      <c r="E51" s="6">
        <v>45693.0</v>
      </c>
      <c r="F51" s="3" t="s">
        <v>30</v>
      </c>
      <c r="G51" s="3" t="s">
        <v>25</v>
      </c>
      <c r="H51" s="3">
        <v>2.0</v>
      </c>
      <c r="I51" s="3">
        <v>95.2</v>
      </c>
      <c r="J51" s="6">
        <v>45885.0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211</v>
      </c>
      <c r="B52" s="3" t="s">
        <v>212</v>
      </c>
      <c r="C52" s="3" t="s">
        <v>213</v>
      </c>
      <c r="D52" s="3" t="s">
        <v>214</v>
      </c>
      <c r="E52" s="6">
        <v>45700.0</v>
      </c>
      <c r="F52" s="3" t="s">
        <v>2</v>
      </c>
      <c r="G52" s="3" t="s">
        <v>4</v>
      </c>
      <c r="H52" s="3">
        <v>7.0</v>
      </c>
      <c r="I52" s="3">
        <v>780.9</v>
      </c>
      <c r="J52" s="6">
        <v>45915.0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215</v>
      </c>
      <c r="B53" s="3" t="s">
        <v>216</v>
      </c>
      <c r="C53" s="3" t="s">
        <v>217</v>
      </c>
      <c r="D53" s="3" t="s">
        <v>218</v>
      </c>
      <c r="E53" s="6">
        <v>45708.0</v>
      </c>
      <c r="F53" s="3" t="s">
        <v>9</v>
      </c>
      <c r="G53" s="3" t="s">
        <v>35</v>
      </c>
      <c r="H53" s="3">
        <v>19.0</v>
      </c>
      <c r="I53" s="3">
        <v>4850.0</v>
      </c>
      <c r="J53" s="6">
        <v>45912.0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1">
    <mergeCell ref="M2:N2"/>
  </mergeCells>
  <dataValidations>
    <dataValidation type="list" allowBlank="1" showErrorMessage="1" sqref="F1">
      <formula1>'09 - Project Dynamic Query'!$F$4:$F$53</formula1>
    </dataValidation>
    <dataValidation type="list" allowBlank="1" showErrorMessage="1" sqref="H1">
      <formula1>'09 - Project Dynamic Query'!$G$4:$G$53</formula1>
    </dataValidation>
  </dataValidations>
  <drawing r:id="rId1"/>
</worksheet>
</file>