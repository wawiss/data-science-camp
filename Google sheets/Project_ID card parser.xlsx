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5 - Project ID Card Parser" sheetId="1" r:id="rId5"/>
  </sheets>
  <definedNames/>
  <calcPr/>
</workbook>
</file>

<file path=xl/sharedStrings.xml><?xml version="1.0" encoding="utf-8"?>
<sst xmlns="http://schemas.openxmlformats.org/spreadsheetml/2006/main" count="40" uniqueCount="30">
  <si>
    <t>Project - ID Card Parser</t>
  </si>
  <si>
    <t>Customer Information</t>
  </si>
  <si>
    <t>ID</t>
  </si>
  <si>
    <t>Gender</t>
  </si>
  <si>
    <t>Firstname</t>
  </si>
  <si>
    <t>Lastname</t>
  </si>
  <si>
    <t>DOB</t>
  </si>
  <si>
    <t>Age</t>
  </si>
  <si>
    <t>Address</t>
  </si>
  <si>
    <t>Zipcode</t>
  </si>
  <si>
    <t>Expired Date</t>
  </si>
  <si>
    <t>Expired This Year</t>
  </si>
  <si>
    <t>ID 1-1078-00555-99-1 Mr. John David 
Date of Birth 20 Sep 1988
Address 67 Bangkok Thailand 10560
Expired Date 31 Dec 2023</t>
  </si>
  <si>
    <t>ID 3-5522-87666-87-2 Miss. Carry Anna 
Date of Birth 18 Jan 1995
Address 967 Tokyo Japan 10880
Expired Date 25 Apr 2025</t>
  </si>
  <si>
    <t>ID 1-2222-03874-23-6 Mr. Kevin Demio 
Date of Birth 14 Feb 1992
Address 7878 Washington United States 11155
Expired Date 31 Oct 2020</t>
  </si>
  <si>
    <t>ID 1-1078-00555-99-1 Mr. Stuart Lonely 
Date of Birth 20 Sep 1982
Address 554 Seoul Korea 89237
Expired Date 31 Mar 2024</t>
  </si>
  <si>
    <t>ID 1-1078-00555-99-1 Miss. Anya Tayloy 
Date of Birth 05 May 1985
Address 998 London United Kingdom 55387
Expired Date 15 Nov 2025</t>
  </si>
  <si>
    <t>Guideline (not solution)</t>
  </si>
  <si>
    <t>นักเรียนลองปรับใช้จากตรงนี้ได้นะครับ Regex สามารถเขียนได้หลายแบบเลย 🫡</t>
  </si>
  <si>
    <t>=REGEXEXTRACT(A2, "[0-9]-[0-9]{4}-[0-9]{5}-[0-9]{2}-[0-9]")</t>
  </si>
  <si>
    <t>=REGEXEXTRACT(A2, "M[a-z]+\.")</t>
  </si>
  <si>
    <t>=REGEXEXTRACT(A2, "M[a-z]+\. ([A-Za-z]+) [A-Za-z]+")</t>
  </si>
  <si>
    <t>=REGEXEXTRACT(A2, "M[a-z]+\. [A-Za-z]+ ([A-Za-z]+)")</t>
  </si>
  <si>
    <t>=REGEXEXTRACT(A2,"Date of Birth ([0-9]{2} [A-Za-z]+ [0-9]{4})")</t>
  </si>
  <si>
    <t>=DATEDIF(F2, TODAY(), "Y")</t>
  </si>
  <si>
    <t>=REGEXEXTRACT(A2,"Address ([0-9]+ [A-Za-z]+ [A-Za-z]+)")</t>
  </si>
  <si>
    <t>=TRIM(REGEXEXTRACT(A2," \d{5}"))</t>
  </si>
  <si>
    <t>=REGEXEXTRACT(A2, "Expired Date (\d{2} \w{3} \d{4})")</t>
  </si>
  <si>
    <t>=RIGHT(J2,4)="2020"</t>
  </si>
  <si>
    <t>Note - REGEX เขียนได้หลายแบบเลย ลองคุยกับ gemini เพิ่มเติมนะค้าบทุกคน ❤️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</si>
</sst>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Work Sans"/>
    </font>
    <font>
      <color theme="1"/>
      <name val="Work Sans"/>
    </font>
    <font>
      <b/>
      <color rgb="FFFFFFFF"/>
      <name val="Work Sans"/>
    </font>
    <font>
      <color theme="1"/>
      <name val="Arial"/>
      <scheme val="minor"/>
    </font>
    <font>
      <color rgb="FFF9CB9C"/>
      <name val="Work Sans"/>
    </font>
  </fonts>
  <fills count="3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2" fontId="3" numFmtId="0" xfId="0" applyAlignment="1" applyFill="1" applyFont="1">
      <alignment readingOrder="0" vertical="bottom"/>
    </xf>
    <xf borderId="0" fillId="2" fontId="3" numFmtId="0" xfId="0" applyAlignment="1" applyFont="1">
      <alignment vertical="bottom"/>
    </xf>
    <xf borderId="0" fillId="2" fontId="3" numFmtId="0" xfId="0" applyAlignment="1" applyFont="1">
      <alignment shrinkToFit="0" vertical="bottom" wrapText="0"/>
    </xf>
    <xf borderId="0" fillId="0" fontId="2" numFmtId="0" xfId="0" applyAlignment="1" applyFont="1">
      <alignment readingOrder="0" shrinkToFit="0" vertical="bottom" wrapText="1"/>
    </xf>
    <xf borderId="0" fillId="0" fontId="2" numFmtId="0" xfId="0" applyAlignment="1" applyFont="1">
      <alignment horizontal="center"/>
    </xf>
    <xf borderId="0" fillId="0" fontId="2" numFmtId="0" xfId="0" applyAlignment="1" applyFont="1">
      <alignment shrinkToFit="0" vertical="bottom" wrapText="1"/>
    </xf>
    <xf borderId="0" fillId="0" fontId="4" numFmtId="0" xfId="0" applyFont="1"/>
    <xf borderId="0" fillId="0" fontId="2" numFmtId="0" xfId="0" applyAlignment="1" applyFont="1">
      <alignment readingOrder="0"/>
    </xf>
    <xf quotePrefix="1"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966"/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1" max="1" width="29.25"/>
    <col customWidth="1" min="2" max="2" width="19.88"/>
    <col customWidth="1" min="8" max="8" width="26.88"/>
    <col customWidth="1" min="11" max="11" width="16.25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5" t="s">
        <v>11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6" t="s">
        <v>12</v>
      </c>
      <c r="B4" s="2" t="str">
        <f>IFERROR(__xludf.DUMMYFUNCTION("REGEXEXTRACT(A4,""[0-9]{1}-[0-9]{4}-[0-9]{5}-[0-9]{2}-[0-9]{1}"")"),"1-1078-00555-99-1")</f>
        <v>1-1078-00555-99-1</v>
      </c>
      <c r="C4" s="2" t="str">
        <f>IFERROR(__xludf.DUMMYFUNCTION("ArrayFormula(IF(REGEXEXTRACT(A4:A8, ""M[a-z]+\."") = ""Mr."" ,""male"",""female""))"),"male")</f>
        <v>male</v>
      </c>
      <c r="D4" s="2" t="str">
        <f>IFERROR(__xludf.DUMMYFUNCTION("ArrayFormula(REGEXEXTRACT(A4,""ID [0-9-]+ M[a-z]+\. ([A-Za-z]+)""))"),"John")</f>
        <v>John</v>
      </c>
      <c r="E4" s="2" t="str">
        <f>IFERROR(__xludf.DUMMYFUNCTION("ArrayFormula(REGEXEXTRACT(A4:A8,""ID [0-9-]+ M[a-z]+\. [A-Za-z]+ ([A-Za-z]+)""))"),"David")</f>
        <v>David</v>
      </c>
      <c r="F4" s="2" t="str">
        <f>IFERROR(__xludf.DUMMYFUNCTION("ArrayFormula(REGEXEXTRACT(A4:A8,""Date of Birth ([0-9]{2} [A-Za-z]{3} [0-9]{4})""))"),"20 Sep 1988")</f>
        <v>20 Sep 1988</v>
      </c>
      <c r="G4" s="2">
        <f>IFERROR(__xludf.DUMMYFUNCTION("ArrayFormula(Minus(2025,REGEXEXTRACT(A4:A8,""Date of Birth [0-9]{2} [A-Za-z]{3} ([0-9]{4})"")))"),37.0)</f>
        <v>37</v>
      </c>
      <c r="H4" s="2" t="str">
        <f>IFERROR(__xludf.DUMMYFUNCTION("ArrayFormula(REGEXEXTRACT(A4:A8, ""Address (.+) [0-9]{5}""))
"),"67 Bangkok Thailand")</f>
        <v>67 Bangkok Thailand</v>
      </c>
      <c r="I4" s="2" t="str">
        <f>IFERROR(__xludf.DUMMYFUNCTION("ArrayFormula(REGEXEXTRACT(A4:A8, ""Address .+ ([0-9]{5})""))
"),"10560")</f>
        <v>10560</v>
      </c>
      <c r="J4" s="2" t="str">
        <f>IFERROR(__xludf.DUMMYFUNCTION("ArrayFormula(REGEXEXTRACT(A4:A8,""Expired Date ([0-9]{2} [A-Za-z]{3} [0-9]{4})""))"),"31 Dec 2023")</f>
        <v>31 Dec 2023</v>
      </c>
      <c r="K4" s="7" t="b">
        <f>IFERROR(__xludf.DUMMYFUNCTION("ArrayFormula(IF(REGEXEXTRACT(A4:A8,""Expired Date [0-9]{2} [A-Za-z]{3} ([0-9]{4})"")=""2025"",TRUE,FALSE))"),FALSE)</f>
        <v>0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8" t="s">
        <v>13</v>
      </c>
      <c r="B5" s="2" t="str">
        <f>IFERROR(__xludf.DUMMYFUNCTION("REGEXEXTRACT(A5,""[0-9]{1}-[0-9]{4}-[0-9]{5}-[0-9]{2}-[0-9]{1}"")"),"3-5522-87666-87-2")</f>
        <v>3-5522-87666-87-2</v>
      </c>
      <c r="C5" s="2" t="str">
        <f>IFERROR(__xludf.DUMMYFUNCTION("""COMPUTED_VALUE"""),"female")</f>
        <v>female</v>
      </c>
      <c r="D5" s="2" t="str">
        <f>IFERROR(__xludf.DUMMYFUNCTION("REGEXEXTRACT(A5,""ID [0-9-]+ M[a-z]+\. ([A-Za-z]+)"")"),"Carry")</f>
        <v>Carry</v>
      </c>
      <c r="E5" s="9" t="str">
        <f>IFERROR(__xludf.DUMMYFUNCTION("""COMPUTED_VALUE"""),"Anna")</f>
        <v>Anna</v>
      </c>
      <c r="F5" s="2" t="str">
        <f>IFERROR(__xludf.DUMMYFUNCTION("""COMPUTED_VALUE"""),"18 Jan 1995")</f>
        <v>18 Jan 1995</v>
      </c>
      <c r="G5" s="2">
        <f>IFERROR(__xludf.DUMMYFUNCTION("""COMPUTED_VALUE"""),30.0)</f>
        <v>30</v>
      </c>
      <c r="H5" s="2" t="str">
        <f>IFERROR(__xludf.DUMMYFUNCTION("""COMPUTED_VALUE"""),"967 Tokyo Japan")</f>
        <v>967 Tokyo Japan</v>
      </c>
      <c r="I5" s="2" t="str">
        <f>IFERROR(__xludf.DUMMYFUNCTION("""COMPUTED_VALUE"""),"10880")</f>
        <v>10880</v>
      </c>
      <c r="J5" s="2" t="str">
        <f>IFERROR(__xludf.DUMMYFUNCTION("""COMPUTED_VALUE"""),"25 Apr 2025")</f>
        <v>25 Apr 2025</v>
      </c>
      <c r="K5" s="7" t="b">
        <f>IFERROR(__xludf.DUMMYFUNCTION("""COMPUTED_VALUE"""),TRUE)</f>
        <v>1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6" t="s">
        <v>14</v>
      </c>
      <c r="B6" s="2" t="str">
        <f>IFERROR(__xludf.DUMMYFUNCTION("REGEXEXTRACT(A6,""[0-9]{1}-[0-9]{4}-[0-9]{5}-[0-9]{2}-[0-9]{1}"")"),"1-2222-03874-23-6")</f>
        <v>1-2222-03874-23-6</v>
      </c>
      <c r="C6" s="2" t="str">
        <f>IFERROR(__xludf.DUMMYFUNCTION("""COMPUTED_VALUE"""),"male")</f>
        <v>male</v>
      </c>
      <c r="D6" s="2" t="str">
        <f>IFERROR(__xludf.DUMMYFUNCTION("REGEXEXTRACT(A6,""ID [0-9-]+ M[a-z]+\. ([A-Za-z]+)"")"),"Kevin")</f>
        <v>Kevin</v>
      </c>
      <c r="E6" s="2" t="str">
        <f>IFERROR(__xludf.DUMMYFUNCTION("""COMPUTED_VALUE"""),"Demio")</f>
        <v>Demio</v>
      </c>
      <c r="F6" s="2" t="str">
        <f>IFERROR(__xludf.DUMMYFUNCTION("""COMPUTED_VALUE"""),"14 Feb 1992")</f>
        <v>14 Feb 1992</v>
      </c>
      <c r="G6" s="2">
        <f>IFERROR(__xludf.DUMMYFUNCTION("""COMPUTED_VALUE"""),33.0)</f>
        <v>33</v>
      </c>
      <c r="H6" s="2" t="str">
        <f>IFERROR(__xludf.DUMMYFUNCTION("""COMPUTED_VALUE"""),"7878 Washington United States")</f>
        <v>7878 Washington United States</v>
      </c>
      <c r="I6" s="2" t="str">
        <f>IFERROR(__xludf.DUMMYFUNCTION("""COMPUTED_VALUE"""),"11155")</f>
        <v>11155</v>
      </c>
      <c r="J6" s="2" t="str">
        <f>IFERROR(__xludf.DUMMYFUNCTION("""COMPUTED_VALUE"""),"31 Oct 2020")</f>
        <v>31 Oct 2020</v>
      </c>
      <c r="K6" s="7" t="b">
        <f>IFERROR(__xludf.DUMMYFUNCTION("""COMPUTED_VALUE"""),FALSE)</f>
        <v>0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6" t="s">
        <v>15</v>
      </c>
      <c r="B7" s="2" t="str">
        <f>IFERROR(__xludf.DUMMYFUNCTION("REGEXEXTRACT(A7,""[0-9]{1}-[0-9]{4}-[0-9]{5}-[0-9]{2}-[0-9]{1}"")"),"1-1078-00555-99-1")</f>
        <v>1-1078-00555-99-1</v>
      </c>
      <c r="C7" s="2" t="str">
        <f>IFERROR(__xludf.DUMMYFUNCTION("""COMPUTED_VALUE"""),"male")</f>
        <v>male</v>
      </c>
      <c r="D7" s="2" t="str">
        <f>IFERROR(__xludf.DUMMYFUNCTION("REGEXEXTRACT(A7,""ID [0-9-]+ M[a-z]+\. ([A-Za-z]+)"")"),"Stuart")</f>
        <v>Stuart</v>
      </c>
      <c r="E7" s="2" t="str">
        <f>IFERROR(__xludf.DUMMYFUNCTION("""COMPUTED_VALUE"""),"Lonely")</f>
        <v>Lonely</v>
      </c>
      <c r="F7" s="2" t="str">
        <f>IFERROR(__xludf.DUMMYFUNCTION("""COMPUTED_VALUE"""),"20 Sep 1982")</f>
        <v>20 Sep 1982</v>
      </c>
      <c r="G7" s="2">
        <f>IFERROR(__xludf.DUMMYFUNCTION("""COMPUTED_VALUE"""),43.0)</f>
        <v>43</v>
      </c>
      <c r="H7" s="2" t="str">
        <f>IFERROR(__xludf.DUMMYFUNCTION("""COMPUTED_VALUE"""),"554 Seoul Korea")</f>
        <v>554 Seoul Korea</v>
      </c>
      <c r="I7" s="2" t="str">
        <f>IFERROR(__xludf.DUMMYFUNCTION("""COMPUTED_VALUE"""),"89237")</f>
        <v>89237</v>
      </c>
      <c r="J7" s="2" t="str">
        <f>IFERROR(__xludf.DUMMYFUNCTION("""COMPUTED_VALUE"""),"31 Mar 2024")</f>
        <v>31 Mar 2024</v>
      </c>
      <c r="K7" s="7" t="b">
        <f>IFERROR(__xludf.DUMMYFUNCTION("""COMPUTED_VALUE"""),FALSE)</f>
        <v>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6" t="s">
        <v>16</v>
      </c>
      <c r="B8" s="2" t="str">
        <f>IFERROR(__xludf.DUMMYFUNCTION("REGEXEXTRACT(A8,""[0-9]{1}-[0-9]{4}-[0-9]{5}-[0-9]{2}-[0-9]{1}"")"),"1-1078-00555-99-1")</f>
        <v>1-1078-00555-99-1</v>
      </c>
      <c r="C8" s="2" t="str">
        <f>IFERROR(__xludf.DUMMYFUNCTION("""COMPUTED_VALUE"""),"female")</f>
        <v>female</v>
      </c>
      <c r="D8" s="2" t="str">
        <f>IFERROR(__xludf.DUMMYFUNCTION("REGEXEXTRACT(A8,""ID [0-9-]+ M[a-z]+\. ([A-Za-z]+)"")"),"Anya")</f>
        <v>Anya</v>
      </c>
      <c r="E8" s="2" t="str">
        <f>IFERROR(__xludf.DUMMYFUNCTION("""COMPUTED_VALUE"""),"Tayloy")</f>
        <v>Tayloy</v>
      </c>
      <c r="F8" s="2" t="str">
        <f>IFERROR(__xludf.DUMMYFUNCTION("""COMPUTED_VALUE"""),"05 May 1985")</f>
        <v>05 May 1985</v>
      </c>
      <c r="G8" s="2">
        <f>IFERROR(__xludf.DUMMYFUNCTION("""COMPUTED_VALUE"""),40.0)</f>
        <v>40</v>
      </c>
      <c r="H8" s="2" t="str">
        <f>IFERROR(__xludf.DUMMYFUNCTION("""COMPUTED_VALUE"""),"998 London United Kingdom")</f>
        <v>998 London United Kingdom</v>
      </c>
      <c r="I8" s="2" t="str">
        <f>IFERROR(__xludf.DUMMYFUNCTION("""COMPUTED_VALUE"""),"55387")</f>
        <v>55387</v>
      </c>
      <c r="J8" s="2" t="str">
        <f>IFERROR(__xludf.DUMMYFUNCTION("""COMPUTED_VALUE"""),"15 Nov 2025")</f>
        <v>15 Nov 2025</v>
      </c>
      <c r="K8" s="7" t="b">
        <f>IFERROR(__xludf.DUMMYFUNCTION("""COMPUTED_VALUE"""),TRUE)</f>
        <v>1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idden="1">
      <c r="A10" s="2"/>
      <c r="B10" s="1" t="s">
        <v>17</v>
      </c>
      <c r="C10" s="10" t="s">
        <v>18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idden="1">
      <c r="A11" s="2"/>
      <c r="B11" s="10" t="s">
        <v>2</v>
      </c>
      <c r="C11" s="11" t="s">
        <v>19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idden="1">
      <c r="A12" s="2"/>
      <c r="B12" s="10" t="s">
        <v>3</v>
      </c>
      <c r="C12" s="11" t="s">
        <v>20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idden="1">
      <c r="A13" s="2"/>
      <c r="B13" s="10" t="s">
        <v>4</v>
      </c>
      <c r="C13" s="11" t="s">
        <v>21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idden="1">
      <c r="A14" s="2"/>
      <c r="B14" s="10" t="s">
        <v>5</v>
      </c>
      <c r="C14" s="11" t="s">
        <v>22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idden="1">
      <c r="A15" s="2"/>
      <c r="B15" s="10" t="s">
        <v>6</v>
      </c>
      <c r="C15" s="11" t="s">
        <v>23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idden="1">
      <c r="A16" s="2"/>
      <c r="B16" s="10" t="s">
        <v>7</v>
      </c>
      <c r="C16" s="11" t="s">
        <v>24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idden="1">
      <c r="A17" s="2"/>
      <c r="B17" s="10" t="s">
        <v>8</v>
      </c>
      <c r="C17" s="11" t="s">
        <v>25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idden="1">
      <c r="A18" s="2"/>
      <c r="B18" s="10" t="s">
        <v>9</v>
      </c>
      <c r="C18" s="11" t="s">
        <v>26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idden="1">
      <c r="A19" s="2"/>
      <c r="B19" s="10" t="s">
        <v>10</v>
      </c>
      <c r="C19" s="11" t="s">
        <v>27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idden="1">
      <c r="A20" s="2"/>
      <c r="B20" s="10" t="s">
        <v>11</v>
      </c>
      <c r="C20" s="11" t="s">
        <v>28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idden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idden="1">
      <c r="A22" s="2"/>
      <c r="B22" s="10" t="s">
        <v>29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idden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